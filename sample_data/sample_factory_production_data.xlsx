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e9ad5baff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_Targets" sheetId="1" r:id="R425299df1caf46f0"/>
    <x:sheet xmlns:r="http://schemas.openxmlformats.org/officeDocument/2006/relationships" name="Production_Lines" sheetId="2" r:id="Rb1250da7b59b4867"/>
    <x:sheet xmlns:r="http://schemas.openxmlformats.org/officeDocument/2006/relationships" name="Weekly_Production" sheetId="3" r:id="R8f04a69f171041ff"/>
    <x:sheet xmlns:r="http://schemas.openxmlformats.org/officeDocument/2006/relationships" name="Machine_Issue_Logs" sheetId="4" r:id="Rf3bdb533914b4ae6"/>
    <x:sheet xmlns:r="http://schemas.openxmlformats.org/officeDocument/2006/relationships" name="Data_Notes" sheetId="5" r:id="Rd4ade225e4e2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afb136a95411c" /><Relationship Type="http://schemas.openxmlformats.org/officeDocument/2006/relationships/theme" Target="/xl/theme/theme1.xml" Id="R19eb32d96aa44f03" /><Relationship Type="http://schemas.openxmlformats.org/officeDocument/2006/relationships/sharedStrings" Target="/xl/sharedStrings.xml" Id="Rc149c6a3e00c40fe" /><Relationship Type="http://schemas.openxmlformats.org/officeDocument/2006/relationships/worksheet" Target="/xl/worksheets/sheet1.xml" Id="R425299df1caf46f0" /><Relationship Type="http://schemas.openxmlformats.org/officeDocument/2006/relationships/worksheet" Target="/xl/worksheets/sheet2.xml" Id="Rb1250da7b59b4867" /><Relationship Type="http://schemas.openxmlformats.org/officeDocument/2006/relationships/worksheet" Target="/xl/worksheets/sheet3.xml" Id="R8f04a69f171041ff" /><Relationship Type="http://schemas.openxmlformats.org/officeDocument/2006/relationships/worksheet" Target="/xl/worksheets/sheet4.xml" Id="Rf3bdb533914b4ae6" /><Relationship Type="http://schemas.openxmlformats.org/officeDocument/2006/relationships/worksheet" Target="/xl/worksheets/sheet5.xml" Id="Rd4ade225e4e24a87" /></Relationships>
</file>

<file path=xl/tables/table1.xml><?xml version="1.0" encoding="utf-8"?>
<x:table xmlns:x="http://schemas.openxmlformats.org/spreadsheetml/2006/main" id="1" name="QuarterTargets" displayName="QuarterTargets" ref="A1:F4" headerRowCount="1" totalsRowCount="0" totalsRowShown="0">
  <x:tableColumns count="6">
    <x:tableColumn id="1" name="Quarter"/>
    <x:tableColumn id="2" name="Product"/>
    <x:tableColumn id="3" name="Target Units"/>
    <x:tableColumn id="4" name="Start Date"/>
    <x:tableColumn id="5" name="End Date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Lines" displayName="ProductionLines" ref="A1:G5" headerRowCount="1" totalsRowCount="0" totalsRowShown="0">
  <x:tableColumns count="7">
    <x:tableColumn id="1" name="Line ID"/>
    <x:tableColumn id="2" name="Line Name"/>
    <x:tableColumn id="3" name="Supervisor"/>
    <x:tableColumn id="4" name="Primary Product"/>
    <x:tableColumn id="5" name="Weekly Capacity"/>
    <x:tableColumn id="6" name="Shift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Production" displayName="WeeklyProduction" ref="A1:L37" headerRowCount="1" totalsRowCount="0" totalsRowShown="0">
  <x:tableColumns count="12">
    <x:tableColumn id="1" name="Week"/>
    <x:tableColumn id="2" name="Week Start"/>
    <x:tableColumn id="3" name="Line ID"/>
    <x:tableColumn id="4" name="Supervisor"/>
    <x:tableColumn id="5" name="Product"/>
    <x:tableColumn id="6" name="Target Units"/>
    <x:tableColumn id="7" name="Actual Units"/>
    <x:tableColumn id="8" name="Variance"/>
    <x:tableColumn id="9" name="Achievement %"/>
    <x:tableColumn id="10" name="Downtime Hours"/>
    <x:tableColumn id="11" name="Defect Units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chineIssueLogs" displayName="MachineIssueLogs" ref="A1:J35" headerRowCount="1" totalsRowCount="0" totalsRowShown="0">
  <x:tableColumns count="10">
    <x:tableColumn id="1" name="Date"/>
    <x:tableColumn id="2" name="Line ID"/>
    <x:tableColumn id="3" name="Machine ID"/>
    <x:tableColumn id="4" name="Machine Type"/>
    <x:tableColumn id="5" name="Issue"/>
    <x:tableColumn id="6" name="Severity"/>
    <x:tableColumn id="7" name="Downtime Minutes"/>
    <x:tableColumn id="8" name="Action Taken"/>
    <x:tableColumn id="9" name="Resolved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Notes" displayName="DataNotes" ref="A1:C8" headerRowCount="1" totalsRowCount="0" totalsRowShown="0">
  <x:tableColumns count="3">
    <x:tableColumn id="1" name="Field / Area"/>
    <x:tableColumn id="2" name="Availability"/>
    <x:tableColumn id="3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83882892af42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c388c1c04449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c3053d3f164b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6d73e0bad644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0e717b8ce8d480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>
      <x:c r="A1" s="6" t="str">
        <x:v>Quarter</x:v>
      </x:c>
      <x:c r="B1" s="6" t="str">
        <x:v>Product</x:v>
      </x:c>
      <x:c r="C1" s="6" t="str">
        <x:v>Target Units</x:v>
      </x:c>
      <x:c r="D1" s="6" t="str">
        <x:v>Start Date</x:v>
      </x:c>
      <x:c r="E1" s="6" t="str">
        <x:v>End Date</x:v>
      </x:c>
      <x:c r="F1" s="6" t="str">
        <x:v>Notes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Q3 2026</x:v>
      </x:c>
      <x:c r="B2" t="str">
        <x:v>Product Alpha</x:v>
      </x:c>
      <x:c r="C2" t="n">
        <x:v>360000</x:v>
      </x:c>
      <x:c r="D2" s="8" t="n">
        <x:v>46204</x:v>
      </x:c>
      <x:c r="E2" s="8" t="n">
        <x:v>46295</x:v>
      </x:c>
      <x:c r="F2" t="str">
        <x:v>Primary production target</x:v>
      </x:c>
    </x:row>
    <x:row r="3">
      <x:c r="A3" t="str">
        <x:v>Q3 2026</x:v>
      </x:c>
      <x:c r="B3" t="str">
        <x:v>Product Beta</x:v>
      </x:c>
      <x:c r="C3" t="n">
        <x:v>180000</x:v>
      </x:c>
      <x:c r="D3" s="8" t="n">
        <x:v>46204</x:v>
      </x:c>
      <x:c r="E3" s="8" t="n">
        <x:v>46295</x:v>
      </x:c>
      <x:c r="F3" t="str">
        <x:v>Secondary product</x:v>
      </x:c>
    </x:row>
    <x:row r="4">
      <x:c r="A4" t="str">
        <x:v>Q3 2026</x:v>
      </x:c>
      <x:c r="B4" t="str">
        <x:v>Product Gamma</x:v>
      </x:c>
      <x:c r="C4" t="n">
        <x:v>90000</x:v>
      </x:c>
      <x:c r="D4" s="8" t="n">
        <x:v>46204</x:v>
      </x:c>
      <x:c r="E4" s="8" t="n">
        <x:v>46295</x:v>
      </x:c>
      <x:c r="F4" t="str">
        <x:v>Lower-volume product</x:v>
      </x:c>
    </x:row>
  </x:sheetData>
  <x:pageMargins left="0.7" right="0.7" top="0.75" bottom="0.75" header="0.3" footer="0.3"/>
  <x:tableParts count="1">
    <x:tablePart xmlns:r="http://schemas.openxmlformats.org/officeDocument/2006/relationships" r:id="R8083882892af42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0" hidden="0" customWidth="1"/>
    <x:col min="5" max="5" width="16" hidden="0" customWidth="1"/>
    <x:col min="6" max="6" width="14" hidden="0" customWidth="1"/>
    <x:col min="7" max="7" width="14" hidden="0" customWidth="1"/>
  </x:cols>
  <x:sheetData>
    <x:row r="1">
      <x:c r="A1" s="6" t="str">
        <x:v>Line ID</x:v>
      </x:c>
      <x:c r="B1" s="6" t="str">
        <x:v>Line Name</x:v>
      </x:c>
      <x:c r="C1" s="6" t="str">
        <x:v>Supervisor</x:v>
      </x:c>
      <x:c r="D1" s="6" t="str">
        <x:v>Primary Product</x:v>
      </x:c>
      <x:c r="E1" s="6" t="str">
        <x:v>Weekly Capacity</x:v>
      </x:c>
      <x:c r="F1" s="6" t="str">
        <x:v>Shift</x:v>
      </x:c>
      <x:c r="G1" s="6" t="str">
        <x:v>Status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L01</x:v>
      </x:c>
      <x:c r="B2" t="str">
        <x:v>Line A</x:v>
      </x:c>
      <x:c r="C2" t="str">
        <x:v>Ahmed Khan</x:v>
      </x:c>
      <x:c r="D2" t="str">
        <x:v>Product Alpha</x:v>
      </x:c>
      <x:c r="E2" t="n">
        <x:v>16000</x:v>
      </x:c>
      <x:c r="F2" t="str">
        <x:v>Morning</x:v>
      </x:c>
      <x:c r="G2" t="str">
        <x:v>Running</x:v>
      </x:c>
    </x:row>
    <x:row r="3">
      <x:c r="A3" t="str">
        <x:v>L02</x:v>
      </x:c>
      <x:c r="B3" t="str">
        <x:v>Line B</x:v>
      </x:c>
      <x:c r="C3" t="str">
        <x:v>Sara Ali</x:v>
      </x:c>
      <x:c r="D3" t="str">
        <x:v>Product Alpha</x:v>
      </x:c>
      <x:c r="E3" t="n">
        <x:v>15500</x:v>
      </x:c>
      <x:c r="F3" t="str">
        <x:v>Morning</x:v>
      </x:c>
      <x:c r="G3" t="str">
        <x:v>Running</x:v>
      </x:c>
    </x:row>
    <x:row r="4">
      <x:c r="A4" t="str">
        <x:v>L03</x:v>
      </x:c>
      <x:c r="B4" t="str">
        <x:v>Line C</x:v>
      </x:c>
      <x:c r="C4" t="str">
        <x:v>Usman Raza</x:v>
      </x:c>
      <x:c r="D4" t="str">
        <x:v>Product Beta</x:v>
      </x:c>
      <x:c r="E4" t="n">
        <x:v>13000</x:v>
      </x:c>
      <x:c r="F4" t="str">
        <x:v>Evening</x:v>
      </x:c>
      <x:c r="G4" t="str">
        <x:v>Running</x:v>
      </x:c>
    </x:row>
    <x:row r="5">
      <x:c r="A5" t="str">
        <x:v>L04</x:v>
      </x:c>
      <x:c r="B5" t="str">
        <x:v>Line D</x:v>
      </x:c>
      <x:c r="C5" t="str">
        <x:v>Hina Malik</x:v>
      </x:c>
      <x:c r="D5" t="str">
        <x:v>Product Gamma</x:v>
      </x:c>
      <x:c r="E5" t="n">
        <x:v>10000</x:v>
      </x:c>
      <x:c r="F5" t="str">
        <x:v>Evening</x:v>
      </x:c>
      <x:c r="G5" t="str">
        <x:v>Running</x:v>
      </x:c>
    </x:row>
  </x:sheetData>
  <x:pageMargins left="0.7" right="0.7" top="0.75" bottom="0.75" header="0.3" footer="0.3"/>
  <x:tableParts count="1">
    <x:tablePart xmlns:r="http://schemas.openxmlformats.org/officeDocument/2006/relationships" r:id="R33c388c1c04449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</x:cols>
  <x:sheetData>
    <x:row r="1">
      <x:c r="A1" s="6" t="str">
        <x:v>Week</x:v>
      </x:c>
      <x:c r="B1" s="6" t="str">
        <x:v>Week Start</x:v>
      </x:c>
      <x:c r="C1" s="6" t="str">
        <x:v>Line ID</x:v>
      </x:c>
      <x:c r="D1" s="6" t="str">
        <x:v>Supervisor</x:v>
      </x:c>
      <x:c r="E1" s="6" t="str">
        <x:v>Product</x:v>
      </x:c>
      <x:c r="F1" s="6" t="str">
        <x:v>Target Units</x:v>
      </x:c>
      <x:c r="G1" s="6" t="str">
        <x:v>Actual Units</x:v>
      </x:c>
      <x:c r="H1" s="6" t="str">
        <x:v>Variance</x:v>
      </x:c>
      <x:c r="I1" s="6" t="str">
        <x:v>Achievement %</x:v>
      </x:c>
      <x:c r="J1" s="6" t="str">
        <x:v>Downtime Hours</x:v>
      </x:c>
      <x:c r="K1" s="6" t="str">
        <x:v>Defect Units</x:v>
      </x:c>
      <x:c r="L1" s="6" t="str">
        <x:v>Status</x:v>
      </x:c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2026-W28</x:v>
      </x:c>
      <x:c r="B2" s="8" t="n">
        <x:v>46209</x:v>
      </x:c>
      <x:c r="C2" t="str">
        <x:v>L01</x:v>
      </x:c>
      <x:c r="D2" t="str">
        <x:v>Ahmed Khan</x:v>
      </x:c>
      <x:c r="E2" t="str">
        <x:v>Product Alpha</x:v>
      </x:c>
      <x:c r="F2" t="n">
        <x:v>14500</x:v>
      </x:c>
      <x:c r="G2" t="n">
        <x:v>14453</x:v>
      </x:c>
      <x:c r="H2" t="n">
        <x:f>G2-F2</x:f>
        <x:v>-47</x:v>
      </x:c>
      <x:c r="I2" s="10" t="n">
        <x:f>G2/F2</x:f>
        <x:v>0.9967586206896552</x:v>
      </x:c>
      <x:c r="J2" t="n">
        <x:v>1.1</x:v>
      </x:c>
      <x:c r="K2" t="n">
        <x:v>115</x:v>
      </x:c>
      <x:c r="L2" t="str">
        <x:v>On Track</x:v>
      </x:c>
    </x:row>
    <x:row r="3">
      <x:c r="A3" t="str">
        <x:v>2026-W28</x:v>
      </x:c>
      <x:c r="B3" s="8" t="n">
        <x:v>46209</x:v>
      </x:c>
      <x:c r="C3" t="str">
        <x:v>L02</x:v>
      </x:c>
      <x:c r="D3" t="str">
        <x:v>Sara Ali</x:v>
      </x:c>
      <x:c r="E3" t="str">
        <x:v>Product Alpha</x:v>
      </x:c>
      <x:c r="F3" t="n">
        <x:v>14000</x:v>
      </x:c>
      <x:c r="G3" t="n">
        <x:v>13291</x:v>
      </x:c>
      <x:c r="H3" t="n">
        <x:f>G3-F3</x:f>
        <x:v>-709</x:v>
      </x:c>
      <x:c r="I3" s="10" t="n">
        <x:f>G3/F3</x:f>
        <x:v>0.9493571428571429</x:v>
      </x:c>
      <x:c r="J3" t="n">
        <x:v>1.4</x:v>
      </x:c>
      <x:c r="K3" t="n">
        <x:v>71</x:v>
      </x:c>
      <x:c r="L3" t="str">
        <x:v>Watch</x:v>
      </x:c>
    </x:row>
    <x:row r="4">
      <x:c r="A4" t="str">
        <x:v>2026-W28</x:v>
      </x:c>
      <x:c r="B4" s="8" t="n">
        <x:v>46209</x:v>
      </x:c>
      <x:c r="C4" t="str">
        <x:v>L03</x:v>
      </x:c>
      <x:c r="D4" t="str">
        <x:v>Usman Raza</x:v>
      </x:c>
      <x:c r="E4" t="str">
        <x:v>Product Beta</x:v>
      </x:c>
      <x:c r="F4" t="n">
        <x:v>11500</x:v>
      </x:c>
      <x:c r="G4" t="n">
        <x:v>10371</x:v>
      </x:c>
      <x:c r="H4" t="n">
        <x:f>G4-F4</x:f>
        <x:v>-1129</x:v>
      </x:c>
      <x:c r="I4" s="10" t="n">
        <x:f>G4/F4</x:f>
        <x:v>0.9018260869565218</x:v>
      </x:c>
      <x:c r="J4" t="n">
        <x:v>8.5</x:v>
      </x:c>
      <x:c r="K4" t="n">
        <x:v>67</x:v>
      </x:c>
      <x:c r="L4" t="str">
        <x:v>Watch</x:v>
      </x:c>
    </x:row>
    <x:row r="5">
      <x:c r="A5" t="str">
        <x:v>2026-W28</x:v>
      </x:c>
      <x:c r="B5" s="8" t="n">
        <x:v>46209</x:v>
      </x:c>
      <x:c r="C5" t="str">
        <x:v>L04</x:v>
      </x:c>
      <x:c r="D5" t="str">
        <x:v>Hina Malik</x:v>
      </x:c>
      <x:c r="E5" t="str">
        <x:v>Product Gamma</x:v>
      </x:c>
      <x:c r="F5" t="n">
        <x:v>8500</x:v>
      </x:c>
      <x:c r="G5" t="n">
        <x:v>8422</x:v>
      </x:c>
      <x:c r="H5" t="n">
        <x:f>G5-F5</x:f>
        <x:v>-78</x:v>
      </x:c>
      <x:c r="I5" s="10" t="n">
        <x:f>G5/F5</x:f>
        <x:v>0.9908235294117647</x:v>
      </x:c>
      <x:c r="J5" t="n">
        <x:v>1.1</x:v>
      </x:c>
      <x:c r="K5" t="n">
        <x:v>68</x:v>
      </x:c>
      <x:c r="L5" t="str">
        <x:v>On Track</x:v>
      </x:c>
    </x:row>
    <x:row r="6">
      <x:c r="A6" t="str">
        <x:v>2026-W29</x:v>
      </x:c>
      <x:c r="B6" s="8" t="n">
        <x:v>46216</x:v>
      </x:c>
      <x:c r="C6" t="str">
        <x:v>L01</x:v>
      </x:c>
      <x:c r="D6" t="str">
        <x:v>Ahmed Khan</x:v>
      </x:c>
      <x:c r="E6" t="str">
        <x:v>Product Alpha</x:v>
      </x:c>
      <x:c r="F6" t="n">
        <x:v>14500</x:v>
      </x:c>
      <x:c r="G6" t="n">
        <x:v>13720</x:v>
      </x:c>
      <x:c r="H6" t="n">
        <x:f>G6-F6</x:f>
        <x:v>-780</x:v>
      </x:c>
      <x:c r="I6" s="10" t="n">
        <x:f>G6/F6</x:f>
        <x:v>0.9462068965517242</x:v>
      </x:c>
      <x:c r="J6" t="n">
        <x:v>2.5</x:v>
      </x:c>
      <x:c r="K6" t="n">
        <x:v>51</x:v>
      </x:c>
      <x:c r="L6" t="str">
        <x:v>Watch</x:v>
      </x:c>
    </x:row>
    <x:row r="7">
      <x:c r="A7" t="str">
        <x:v>2026-W29</x:v>
      </x:c>
      <x:c r="B7" s="8" t="n">
        <x:v>46216</x:v>
      </x:c>
      <x:c r="C7" t="str">
        <x:v>L02</x:v>
      </x:c>
      <x:c r="D7" t="str">
        <x:v>Sara Ali</x:v>
      </x:c>
      <x:c r="E7" t="str">
        <x:v>Product Alpha</x:v>
      </x:c>
      <x:c r="F7" t="n">
        <x:v>14000</x:v>
      </x:c>
      <x:c r="G7" t="n">
        <x:v>13823</x:v>
      </x:c>
      <x:c r="H7" t="n">
        <x:f>G7-F7</x:f>
        <x:v>-177</x:v>
      </x:c>
      <x:c r="I7" s="10" t="n">
        <x:f>G7/F7</x:f>
        <x:v>0.9873571428571428</x:v>
      </x:c>
      <x:c r="J7" t="n">
        <x:v>3.1</x:v>
      </x:c>
      <x:c r="K7" t="n">
        <x:v>152</x:v>
      </x:c>
      <x:c r="L7" t="str">
        <x:v>On Track</x:v>
      </x:c>
    </x:row>
    <x:row r="8">
      <x:c r="A8" t="str">
        <x:v>2026-W29</x:v>
      </x:c>
      <x:c r="B8" s="8" t="n">
        <x:v>46216</x:v>
      </x:c>
      <x:c r="C8" t="str">
        <x:v>L03</x:v>
      </x:c>
      <x:c r="D8" t="str">
        <x:v>Usman Raza</x:v>
      </x:c>
      <x:c r="E8" t="str">
        <x:v>Product Beta</x:v>
      </x:c>
      <x:c r="F8" t="n">
        <x:v>11500</x:v>
      </x:c>
      <x:c r="G8" t="n">
        <x:v>9426</x:v>
      </x:c>
      <x:c r="H8" t="n">
        <x:f>G8-F8</x:f>
        <x:v>-2074</x:v>
      </x:c>
      <x:c r="I8" s="10" t="n">
        <x:f>G8/F8</x:f>
        <x:v>0.8196521739130435</x:v>
      </x:c>
      <x:c r="J8" t="n">
        <x:v>6.9</x:v>
      </x:c>
      <x:c r="K8" t="n">
        <x:v>46</x:v>
      </x:c>
      <x:c r="L8" t="str">
        <x:v>Behind</x:v>
      </x:c>
    </x:row>
    <x:row r="9">
      <x:c r="A9" t="str">
        <x:v>2026-W29</x:v>
      </x:c>
      <x:c r="B9" s="8" t="n">
        <x:v>46216</x:v>
      </x:c>
      <x:c r="C9" t="str">
        <x:v>L04</x:v>
      </x:c>
      <x:c r="D9" t="str">
        <x:v>Hina Malik</x:v>
      </x:c>
      <x:c r="E9" t="str">
        <x:v>Product Gamma</x:v>
      </x:c>
      <x:c r="F9" t="n">
        <x:v>8500</x:v>
      </x:c>
      <x:c r="G9" t="n">
        <x:v>8594</x:v>
      </x:c>
      <x:c r="H9" t="n">
        <x:f>G9-F9</x:f>
        <x:v>94</x:v>
      </x:c>
      <x:c r="I9" s="10" t="n">
        <x:f>G9/F9</x:f>
        <x:v>1.0110588235294118</x:v>
      </x:c>
      <x:c r="J9" t="n">
        <x:v>1.5</x:v>
      </x:c>
      <x:c r="K9" t="n">
        <x:v>153</x:v>
      </x:c>
      <x:c r="L9" t="str">
        <x:v>On Track</x:v>
      </x:c>
    </x:row>
    <x:row r="10">
      <x:c r="A10" t="str">
        <x:v>2026-W30</x:v>
      </x:c>
      <x:c r="B10" s="8" t="n">
        <x:v>46223</x:v>
      </x:c>
      <x:c r="C10" t="str">
        <x:v>L01</x:v>
      </x:c>
      <x:c r="D10" t="str">
        <x:v>Ahmed Khan</x:v>
      </x:c>
      <x:c r="E10" t="str">
        <x:v>Product Alpha</x:v>
      </x:c>
      <x:c r="F10" t="n">
        <x:v>14500</x:v>
      </x:c>
      <x:c r="G10" t="n">
        <x:v>13932</x:v>
      </x:c>
      <x:c r="H10" t="n">
        <x:f>G10-F10</x:f>
        <x:v>-568</x:v>
      </x:c>
      <x:c r="I10" s="10" t="n">
        <x:f>G10/F10</x:f>
        <x:v>0.9608275862068966</x:v>
      </x:c>
      <x:c r="J10" t="n">
        <x:v>1.5</x:v>
      </x:c>
      <x:c r="K10" t="n">
        <x:v>131</x:v>
      </x:c>
      <x:c r="L10" t="str">
        <x:v>Watch</x:v>
      </x:c>
    </x:row>
    <x:row r="11">
      <x:c r="A11" t="str">
        <x:v>2026-W30</x:v>
      </x:c>
      <x:c r="B11" s="8" t="n">
        <x:v>46223</x:v>
      </x:c>
      <x:c r="C11" t="str">
        <x:v>L02</x:v>
      </x:c>
      <x:c r="D11" t="str">
        <x:v>Sara Ali</x:v>
      </x:c>
      <x:c r="E11" t="str">
        <x:v>Product Alpha</x:v>
      </x:c>
      <x:c r="F11" t="n">
        <x:v>14000</x:v>
      </x:c>
      <x:c r="G11" t="n">
        <x:v>13052</x:v>
      </x:c>
      <x:c r="H11" t="n">
        <x:f>G11-F11</x:f>
        <x:v>-948</x:v>
      </x:c>
      <x:c r="I11" s="10" t="n">
        <x:f>G11/F11</x:f>
        <x:v>0.9322857142857143</x:v>
      </x:c>
      <x:c r="J11" t="n">
        <x:v>2.1</x:v>
      </x:c>
      <x:c r="K11" t="n">
        <x:v>136</x:v>
      </x:c>
      <x:c r="L11" t="str">
        <x:v>Watch</x:v>
      </x:c>
    </x:row>
    <x:row r="12">
      <x:c r="A12" t="str">
        <x:v>2026-W30</x:v>
      </x:c>
      <x:c r="B12" s="8" t="n">
        <x:v>46223</x:v>
      </x:c>
      <x:c r="C12" t="str">
        <x:v>L03</x:v>
      </x:c>
      <x:c r="D12" t="str">
        <x:v>Usman Raza</x:v>
      </x:c>
      <x:c r="E12" t="str">
        <x:v>Product Beta</x:v>
      </x:c>
      <x:c r="F12" t="n">
        <x:v>11500</x:v>
      </x:c>
      <x:c r="G12" t="n">
        <x:v>10724</x:v>
      </x:c>
      <x:c r="H12" t="n">
        <x:f>G12-F12</x:f>
        <x:v>-776</x:v>
      </x:c>
      <x:c r="I12" s="10" t="n">
        <x:f>G12/F12</x:f>
        <x:v>0.9325217391304348</x:v>
      </x:c>
      <x:c r="J12" t="n">
        <x:v>7</x:v>
      </x:c>
      <x:c r="K12" t="n">
        <x:v>56</x:v>
      </x:c>
      <x:c r="L12" t="str">
        <x:v>Watch</x:v>
      </x:c>
    </x:row>
    <x:row r="13">
      <x:c r="A13" t="str">
        <x:v>2026-W30</x:v>
      </x:c>
      <x:c r="B13" s="8" t="n">
        <x:v>46223</x:v>
      </x:c>
      <x:c r="C13" t="str">
        <x:v>L04</x:v>
      </x:c>
      <x:c r="D13" t="str">
        <x:v>Hina Malik</x:v>
      </x:c>
      <x:c r="E13" t="str">
        <x:v>Product Gamma</x:v>
      </x:c>
      <x:c r="F13" t="n">
        <x:v>8500</x:v>
      </x:c>
      <x:c r="G13" t="n">
        <x:v>8564</x:v>
      </x:c>
      <x:c r="H13" t="n">
        <x:f>G13-F13</x:f>
        <x:v>64</x:v>
      </x:c>
      <x:c r="I13" s="10" t="n">
        <x:f>G13/F13</x:f>
        <x:v>1.0075294117647058</x:v>
      </x:c>
      <x:c r="J13" t="n">
        <x:v>2.6</x:v>
      </x:c>
      <x:c r="K13" t="n">
        <x:v>141</x:v>
      </x:c>
      <x:c r="L13" t="str">
        <x:v>On Track</x:v>
      </x:c>
    </x:row>
    <x:row r="14">
      <x:c r="A14" t="str">
        <x:v>2026-W31</x:v>
      </x:c>
      <x:c r="B14" s="8" t="n">
        <x:v>46230</x:v>
      </x:c>
      <x:c r="C14" t="str">
        <x:v>L01</x:v>
      </x:c>
      <x:c r="D14" t="str">
        <x:v>Ahmed Khan</x:v>
      </x:c>
      <x:c r="E14" t="str">
        <x:v>Product Alpha</x:v>
      </x:c>
      <x:c r="F14" t="n">
        <x:v>14500</x:v>
      </x:c>
      <x:c r="G14" t="n">
        <x:v>13477</x:v>
      </x:c>
      <x:c r="H14" t="n">
        <x:f>G14-F14</x:f>
        <x:v>-1023</x:v>
      </x:c>
      <x:c r="I14" s="10" t="n">
        <x:f>G14/F14</x:f>
        <x:v>0.929448275862069</x:v>
      </x:c>
      <x:c r="J14" t="n">
        <x:v>1.9</x:v>
      </x:c>
      <x:c r="K14" t="n">
        <x:v>137</x:v>
      </x:c>
      <x:c r="L14" t="str">
        <x:v>Watch</x:v>
      </x:c>
    </x:row>
    <x:row r="15">
      <x:c r="A15" t="str">
        <x:v>2026-W31</x:v>
      </x:c>
      <x:c r="B15" s="8" t="n">
        <x:v>46230</x:v>
      </x:c>
      <x:c r="C15" t="str">
        <x:v>L02</x:v>
      </x:c>
      <x:c r="D15" t="str">
        <x:v>Sara Ali</x:v>
      </x:c>
      <x:c r="E15" t="str">
        <x:v>Product Alpha</x:v>
      </x:c>
      <x:c r="F15" t="n">
        <x:v>14000</x:v>
      </x:c>
      <x:c r="G15" t="n">
        <x:v>13850</x:v>
      </x:c>
      <x:c r="H15" t="n">
        <x:f>G15-F15</x:f>
        <x:v>-150</x:v>
      </x:c>
      <x:c r="I15" s="10" t="n">
        <x:f>G15/F15</x:f>
        <x:v>0.9892857142857143</x:v>
      </x:c>
      <x:c r="J15" t="n">
        <x:v>3.1</x:v>
      </x:c>
      <x:c r="K15" t="n">
        <x:v>56</x:v>
      </x:c>
      <x:c r="L15" t="str">
        <x:v>On Track</x:v>
      </x:c>
    </x:row>
    <x:row r="16">
      <x:c r="A16" t="str">
        <x:v>2026-W31</x:v>
      </x:c>
      <x:c r="B16" s="8" t="n">
        <x:v>46230</x:v>
      </x:c>
      <x:c r="C16" t="str">
        <x:v>L03</x:v>
      </x:c>
      <x:c r="D16" t="str">
        <x:v>Usman Raza</x:v>
      </x:c>
      <x:c r="E16" t="str">
        <x:v>Product Beta</x:v>
      </x:c>
      <x:c r="F16" t="n">
        <x:v>11500</x:v>
      </x:c>
      <x:c r="G16" t="n">
        <x:v>10339</x:v>
      </x:c>
      <x:c r="H16" t="n">
        <x:f>G16-F16</x:f>
        <x:v>-1161</x:v>
      </x:c>
      <x:c r="I16" s="10" t="n">
        <x:f>G16/F16</x:f>
        <x:v>0.8990434782608696</x:v>
      </x:c>
      <x:c r="J16" t="n">
        <x:v>7.9</x:v>
      </x:c>
      <x:c r="K16" t="n">
        <x:v>65</x:v>
      </x:c>
      <x:c r="L16" t="str">
        <x:v>Behind</x:v>
      </x:c>
    </x:row>
    <x:row r="17">
      <x:c r="A17" t="str">
        <x:v>2026-W31</x:v>
      </x:c>
      <x:c r="B17" s="8" t="n">
        <x:v>46230</x:v>
      </x:c>
      <x:c r="C17" t="str">
        <x:v>L04</x:v>
      </x:c>
      <x:c r="D17" t="str">
        <x:v>Hina Malik</x:v>
      </x:c>
      <x:c r="E17" t="str">
        <x:v>Product Gamma</x:v>
      </x:c>
      <x:c r="F17" t="n">
        <x:v>8500</x:v>
      </x:c>
      <x:c r="G17" t="n">
        <x:v>8692</x:v>
      </x:c>
      <x:c r="H17" t="n">
        <x:f>G17-F17</x:f>
        <x:v>192</x:v>
      </x:c>
      <x:c r="I17" s="10" t="n">
        <x:f>G17/F17</x:f>
        <x:v>1.0225882352941176</x:v>
      </x:c>
      <x:c r="J17" t="n">
        <x:v>3.6</x:v>
      </x:c>
      <x:c r="K17" t="n">
        <x:v>142</x:v>
      </x:c>
      <x:c r="L17" t="str">
        <x:v>On Track</x:v>
      </x:c>
    </x:row>
    <x:row r="18">
      <x:c r="A18" t="str">
        <x:v>2026-W32</x:v>
      </x:c>
      <x:c r="B18" s="8" t="n">
        <x:v>46237</x:v>
      </x:c>
      <x:c r="C18" t="str">
        <x:v>L01</x:v>
      </x:c>
      <x:c r="D18" t="str">
        <x:v>Ahmed Khan</x:v>
      </x:c>
      <x:c r="E18" t="str">
        <x:v>Product Alpha</x:v>
      </x:c>
      <x:c r="F18" t="n">
        <x:v>14500</x:v>
      </x:c>
      <x:c r="G18" t="n">
        <x:v>13824</x:v>
      </x:c>
      <x:c r="H18" t="n">
        <x:f>G18-F18</x:f>
        <x:v>-676</x:v>
      </x:c>
      <x:c r="I18" s="10" t="n">
        <x:f>G18/F18</x:f>
        <x:v>0.9533793103448276</x:v>
      </x:c>
      <x:c r="J18" t="n">
        <x:v>2.9</x:v>
      </x:c>
      <x:c r="K18" t="n">
        <x:v>138</x:v>
      </x:c>
      <x:c r="L18" t="str">
        <x:v>Watch</x:v>
      </x:c>
    </x:row>
    <x:row r="19">
      <x:c r="A19" t="str">
        <x:v>2026-W32</x:v>
      </x:c>
      <x:c r="B19" s="8" t="n">
        <x:v>46237</x:v>
      </x:c>
      <x:c r="C19" t="str">
        <x:v>L02</x:v>
      </x:c>
      <x:c r="D19" t="str">
        <x:v>Sara Ali</x:v>
      </x:c>
      <x:c r="E19" t="str">
        <x:v>Product Alpha</x:v>
      </x:c>
      <x:c r="F19" t="n">
        <x:v>14000</x:v>
      </x:c>
      <x:c r="G19" t="n">
        <x:v>13153</x:v>
      </x:c>
      <x:c r="H19" t="n">
        <x:f>G19-F19</x:f>
        <x:v>-847</x:v>
      </x:c>
      <x:c r="I19" s="10" t="n">
        <x:f>G19/F19</x:f>
        <x:v>0.9395</x:v>
      </x:c>
      <x:c r="J19" t="n">
        <x:v>2.1</x:v>
      </x:c>
      <x:c r="K19" t="n">
        <x:v>113</x:v>
      </x:c>
      <x:c r="L19" t="str">
        <x:v>Watch</x:v>
      </x:c>
    </x:row>
    <x:row r="20">
      <x:c r="A20" t="str">
        <x:v>2026-W32</x:v>
      </x:c>
      <x:c r="B20" s="8" t="n">
        <x:v>46237</x:v>
      </x:c>
      <x:c r="C20" t="str">
        <x:v>L03</x:v>
      </x:c>
      <x:c r="D20" t="str">
        <x:v>Usman Raza</x:v>
      </x:c>
      <x:c r="E20" t="str">
        <x:v>Product Beta</x:v>
      </x:c>
      <x:c r="F20" t="n">
        <x:v>11500</x:v>
      </x:c>
      <x:c r="G20" t="n">
        <x:v>10423</x:v>
      </x:c>
      <x:c r="H20" t="n">
        <x:f>G20-F20</x:f>
        <x:v>-1077</x:v>
      </x:c>
      <x:c r="I20" s="10" t="n">
        <x:f>G20/F20</x:f>
        <x:v>0.9063478260869565</x:v>
      </x:c>
      <x:c r="J20" t="n">
        <x:v>7.4</x:v>
      </x:c>
      <x:c r="K20" t="n">
        <x:v>63</x:v>
      </x:c>
      <x:c r="L20" t="str">
        <x:v>Watch</x:v>
      </x:c>
    </x:row>
    <x:row r="21">
      <x:c r="A21" t="str">
        <x:v>2026-W32</x:v>
      </x:c>
      <x:c r="B21" s="8" t="n">
        <x:v>46237</x:v>
      </x:c>
      <x:c r="C21" t="str">
        <x:v>L04</x:v>
      </x:c>
      <x:c r="D21" t="str">
        <x:v>Hina Malik</x:v>
      </x:c>
      <x:c r="E21" t="str">
        <x:v>Product Gamma</x:v>
      </x:c>
      <x:c r="F21" t="n">
        <x:v>8500</x:v>
      </x:c>
      <x:c r="G21" t="n">
        <x:v>8441</x:v>
      </x:c>
      <x:c r="H21" t="n">
        <x:f>G21-F21</x:f>
        <x:v>-59</x:v>
      </x:c>
      <x:c r="I21" s="10" t="n">
        <x:f>G21/F21</x:f>
        <x:v>0.9930588235294118</x:v>
      </x:c>
      <x:c r="J21" t="n">
        <x:v>1.5</x:v>
      </x:c>
      <x:c r="K21" t="n">
        <x:v>107</x:v>
      </x:c>
      <x:c r="L21" t="str">
        <x:v>On Track</x:v>
      </x:c>
    </x:row>
    <x:row r="22">
      <x:c r="A22" t="str">
        <x:v>2026-W33</x:v>
      </x:c>
      <x:c r="B22" s="8" t="n">
        <x:v>46244</x:v>
      </x:c>
      <x:c r="C22" t="str">
        <x:v>L01</x:v>
      </x:c>
      <x:c r="D22" t="str">
        <x:v>Ahmed Khan</x:v>
      </x:c>
      <x:c r="E22" t="str">
        <x:v>Product Alpha</x:v>
      </x:c>
      <x:c r="F22" t="n">
        <x:v>14500</x:v>
      </x:c>
      <x:c r="G22" t="n">
        <x:v>13624</x:v>
      </x:c>
      <x:c r="H22" t="n">
        <x:f>G22-F22</x:f>
        <x:v>-876</x:v>
      </x:c>
      <x:c r="I22" s="10" t="n">
        <x:f>G22/F22</x:f>
        <x:v>0.9395862068965517</x:v>
      </x:c>
      <x:c r="J22" t="n">
        <x:v>2.1</x:v>
      </x:c>
      <x:c r="K22" t="n">
        <x:v>101</x:v>
      </x:c>
      <x:c r="L22" t="str">
        <x:v>Watch</x:v>
      </x:c>
    </x:row>
    <x:row r="23">
      <x:c r="A23" t="str">
        <x:v>2026-W33</x:v>
      </x:c>
      <x:c r="B23" s="8" t="n">
        <x:v>46244</x:v>
      </x:c>
      <x:c r="C23" t="str">
        <x:v>L02</x:v>
      </x:c>
      <x:c r="D23" t="str">
        <x:v>Sara Ali</x:v>
      </x:c>
      <x:c r="E23" t="str">
        <x:v>Product Alpha</x:v>
      </x:c>
      <x:c r="F23" t="n">
        <x:v>14000</x:v>
      </x:c>
      <x:c r="G23" t="n">
        <x:v>14030</x:v>
      </x:c>
      <x:c r="H23" t="n">
        <x:f>G23-F23</x:f>
        <x:v>30</x:v>
      </x:c>
      <x:c r="I23" s="10" t="n">
        <x:f>G23/F23</x:f>
        <x:v>1.0021428571428572</x:v>
      </x:c>
      <x:c r="J23" t="n">
        <x:v>3.5</x:v>
      </x:c>
      <x:c r="K23" t="n">
        <x:v>59</x:v>
      </x:c>
      <x:c r="L23" t="str">
        <x:v>On Track</x:v>
      </x:c>
    </x:row>
    <x:row r="24">
      <x:c r="A24" t="str">
        <x:v>2026-W33</x:v>
      </x:c>
      <x:c r="B24" s="8" t="n">
        <x:v>46244</x:v>
      </x:c>
      <x:c r="C24" t="str">
        <x:v>L03</x:v>
      </x:c>
      <x:c r="D24" t="str">
        <x:v>Usman Raza</x:v>
      </x:c>
      <x:c r="E24" t="str">
        <x:v>Product Beta</x:v>
      </x:c>
      <x:c r="F24" t="n">
        <x:v>11500</x:v>
      </x:c>
      <x:c r="G24" t="n">
        <x:v>9444</x:v>
      </x:c>
      <x:c r="H24" t="n">
        <x:f>G24-F24</x:f>
        <x:v>-2056</x:v>
      </x:c>
      <x:c r="I24" s="10" t="n">
        <x:f>G24/F24</x:f>
        <x:v>0.8212173913043478</x:v>
      </x:c>
      <x:c r="J24" t="n">
        <x:v>4.2</x:v>
      </x:c>
      <x:c r="K24" t="n">
        <x:v>125</x:v>
      </x:c>
      <x:c r="L24" t="str">
        <x:v>Behind</x:v>
      </x:c>
    </x:row>
    <x:row r="25">
      <x:c r="A25" t="str">
        <x:v>2026-W33</x:v>
      </x:c>
      <x:c r="B25" s="8" t="n">
        <x:v>46244</x:v>
      </x:c>
      <x:c r="C25" t="str">
        <x:v>L04</x:v>
      </x:c>
      <x:c r="D25" t="str">
        <x:v>Hina Malik</x:v>
      </x:c>
      <x:c r="E25" t="str">
        <x:v>Product Gamma</x:v>
      </x:c>
      <x:c r="F25" t="n">
        <x:v>8500</x:v>
      </x:c>
      <x:c r="G25" t="n">
        <x:v>8229</x:v>
      </x:c>
      <x:c r="H25" t="n">
        <x:f>G25-F25</x:f>
        <x:v>-271</x:v>
      </x:c>
      <x:c r="I25" s="10" t="n">
        <x:f>G25/F25</x:f>
        <x:v>0.9681176470588235</x:v>
      </x:c>
      <x:c r="J25" t="n">
        <x:v>1.2</x:v>
      </x:c>
      <x:c r="K25" t="n">
        <x:v>125</x:v>
      </x:c>
      <x:c r="L25" t="str">
        <x:v>Watch</x:v>
      </x:c>
    </x:row>
    <x:row r="26">
      <x:c r="A26" t="str">
        <x:v>2026-W34</x:v>
      </x:c>
      <x:c r="B26" s="8" t="n">
        <x:v>46251</x:v>
      </x:c>
      <x:c r="C26" t="str">
        <x:v>L01</x:v>
      </x:c>
      <x:c r="D26" t="str">
        <x:v>Ahmed Khan</x:v>
      </x:c>
      <x:c r="E26" t="str">
        <x:v>Product Alpha</x:v>
      </x:c>
      <x:c r="F26" t="n">
        <x:v>14500</x:v>
      </x:c>
      <x:c r="G26" t="n">
        <x:v>13710</x:v>
      </x:c>
      <x:c r="H26" t="n">
        <x:f>G26-F26</x:f>
        <x:v>-790</x:v>
      </x:c>
      <x:c r="I26" s="10" t="n">
        <x:f>G26/F26</x:f>
        <x:v>0.9455172413793104</x:v>
      </x:c>
      <x:c r="J26" t="n">
        <x:v>2.5</x:v>
      </x:c>
      <x:c r="K26" t="n">
        <x:v>162</x:v>
      </x:c>
      <x:c r="L26" t="str">
        <x:v>Watch</x:v>
      </x:c>
    </x:row>
    <x:row r="27">
      <x:c r="A27" t="str">
        <x:v>2026-W34</x:v>
      </x:c>
      <x:c r="B27" s="8" t="n">
        <x:v>46251</x:v>
      </x:c>
      <x:c r="C27" t="str">
        <x:v>L02</x:v>
      </x:c>
      <x:c r="D27" t="str">
        <x:v>Sara Ali</x:v>
      </x:c>
      <x:c r="E27" t="str">
        <x:v>Product Alpha</x:v>
      </x:c>
      <x:c r="F27" t="n">
        <x:v>14000</x:v>
      </x:c>
      <x:c r="G27" t="n">
        <x:v>13120</x:v>
      </x:c>
      <x:c r="H27" t="n">
        <x:f>G27-F27</x:f>
        <x:v>-880</x:v>
      </x:c>
      <x:c r="I27" s="10" t="n">
        <x:f>G27/F27</x:f>
        <x:v>0.9371428571428572</x:v>
      </x:c>
      <x:c r="J27" t="n">
        <x:v>1.4</x:v>
      </x:c>
      <x:c r="K27" t="n">
        <x:v>112</x:v>
      </x:c>
      <x:c r="L27" t="str">
        <x:v>Watch</x:v>
      </x:c>
    </x:row>
    <x:row r="28">
      <x:c r="A28" t="str">
        <x:v>2026-W34</x:v>
      </x:c>
      <x:c r="B28" s="8" t="n">
        <x:v>46251</x:v>
      </x:c>
      <x:c r="C28" t="str">
        <x:v>L03</x:v>
      </x:c>
      <x:c r="D28" t="str">
        <x:v>Usman Raza</x:v>
      </x:c>
      <x:c r="E28" t="str">
        <x:v>Product Beta</x:v>
      </x:c>
      <x:c r="F28" t="n">
        <x:v>11500</x:v>
      </x:c>
      <x:c r="G28" t="n">
        <x:v>10516</x:v>
      </x:c>
      <x:c r="H28" t="n">
        <x:f>G28-F28</x:f>
        <x:v>-984</x:v>
      </x:c>
      <x:c r="I28" s="10" t="n">
        <x:f>G28/F28</x:f>
        <x:v>0.9144347826086957</x:v>
      </x:c>
      <x:c r="J28" t="n">
        <x:v>6.1</x:v>
      </x:c>
      <x:c r="K28" t="n">
        <x:v>147</x:v>
      </x:c>
      <x:c r="L28" t="str">
        <x:v>Watch</x:v>
      </x:c>
    </x:row>
    <x:row r="29">
      <x:c r="A29" t="str">
        <x:v>2026-W34</x:v>
      </x:c>
      <x:c r="B29" s="8" t="n">
        <x:v>46251</x:v>
      </x:c>
      <x:c r="C29" t="str">
        <x:v>L04</x:v>
      </x:c>
      <x:c r="D29" t="str">
        <x:v>Hina Malik</x:v>
      </x:c>
      <x:c r="E29" t="str">
        <x:v>Product Gamma</x:v>
      </x:c>
      <x:c r="F29" t="n">
        <x:v>8500</x:v>
      </x:c>
      <x:c r="G29" t="n">
        <x:v>8189</x:v>
      </x:c>
      <x:c r="H29" t="n">
        <x:f>G29-F29</x:f>
        <x:v>-311</x:v>
      </x:c>
      <x:c r="I29" s="10" t="n">
        <x:f>G29/F29</x:f>
        <x:v>0.9634117647058823</x:v>
      </x:c>
      <x:c r="J29" t="n">
        <x:v>4</x:v>
      </x:c>
      <x:c r="K29" t="n">
        <x:v>80</x:v>
      </x:c>
      <x:c r="L29" t="str">
        <x:v>Watch</x:v>
      </x:c>
    </x:row>
    <x:row r="30">
      <x:c r="A30" t="str">
        <x:v>2026-W35</x:v>
      </x:c>
      <x:c r="B30" s="8" t="n">
        <x:v>46258</x:v>
      </x:c>
      <x:c r="C30" t="str">
        <x:v>L01</x:v>
      </x:c>
      <x:c r="D30" t="str">
        <x:v>Ahmed Khan</x:v>
      </x:c>
      <x:c r="E30" t="str">
        <x:v>Product Alpha</x:v>
      </x:c>
      <x:c r="F30" t="n">
        <x:v>14500</x:v>
      </x:c>
      <x:c r="G30" t="n">
        <x:v>14227</x:v>
      </x:c>
      <x:c r="H30" t="n">
        <x:f>G30-F30</x:f>
        <x:v>-273</x:v>
      </x:c>
      <x:c r="I30" s="10" t="n">
        <x:f>G30/F30</x:f>
        <x:v>0.9811724137931035</x:v>
      </x:c>
      <x:c r="J30" t="n">
        <x:v>1.3</x:v>
      </x:c>
      <x:c r="K30" t="n">
        <x:v>57</x:v>
      </x:c>
      <x:c r="L30" t="str">
        <x:v>On Track</x:v>
      </x:c>
    </x:row>
    <x:row r="31">
      <x:c r="A31" t="str">
        <x:v>2026-W35</x:v>
      </x:c>
      <x:c r="B31" s="8" t="n">
        <x:v>46258</x:v>
      </x:c>
      <x:c r="C31" t="str">
        <x:v>L02</x:v>
      </x:c>
      <x:c r="D31" t="str">
        <x:v>Sara Ali</x:v>
      </x:c>
      <x:c r="E31" t="str">
        <x:v>Product Alpha</x:v>
      </x:c>
      <x:c r="F31" t="n">
        <x:v>14000</x:v>
      </x:c>
      <x:c r="G31" t="n">
        <x:v>14327</x:v>
      </x:c>
      <x:c r="H31" t="n">
        <x:f>G31-F31</x:f>
        <x:v>327</x:v>
      </x:c>
      <x:c r="I31" s="10" t="n">
        <x:f>G31/F31</x:f>
        <x:v>1.0233571428571429</x:v>
      </x:c>
      <x:c r="J31" t="n">
        <x:v>1.5</x:v>
      </x:c>
      <x:c r="K31" t="n">
        <x:v>85</x:v>
      </x:c>
      <x:c r="L31" t="str">
        <x:v>On Track</x:v>
      </x:c>
    </x:row>
    <x:row r="32">
      <x:c r="A32" t="str">
        <x:v>2026-W35</x:v>
      </x:c>
      <x:c r="B32" s="8" t="n">
        <x:v>46258</x:v>
      </x:c>
      <x:c r="C32" t="str">
        <x:v>L03</x:v>
      </x:c>
      <x:c r="D32" t="str">
        <x:v>Usman Raza</x:v>
      </x:c>
      <x:c r="E32" t="str">
        <x:v>Product Beta</x:v>
      </x:c>
      <x:c r="F32" t="n">
        <x:v>11500</x:v>
      </x:c>
      <x:c r="G32" t="n">
        <x:v>10610</x:v>
      </x:c>
      <x:c r="H32" t="n">
        <x:f>G32-F32</x:f>
        <x:v>-890</x:v>
      </x:c>
      <x:c r="I32" s="10" t="n">
        <x:f>G32/F32</x:f>
        <x:v>0.922608695652174</x:v>
      </x:c>
      <x:c r="J32" t="n">
        <x:v>6.1</x:v>
      </x:c>
      <x:c r="K32" t="n">
        <x:v>61</x:v>
      </x:c>
      <x:c r="L32" t="str">
        <x:v>Watch</x:v>
      </x:c>
    </x:row>
    <x:row r="33">
      <x:c r="A33" t="str">
        <x:v>2026-W35</x:v>
      </x:c>
      <x:c r="B33" s="8" t="n">
        <x:v>46258</x:v>
      </x:c>
      <x:c r="C33" t="str">
        <x:v>L04</x:v>
      </x:c>
      <x:c r="D33" t="str">
        <x:v>Hina Malik</x:v>
      </x:c>
      <x:c r="E33" t="str">
        <x:v>Product Gamma</x:v>
      </x:c>
      <x:c r="F33" t="n">
        <x:v>8500</x:v>
      </x:c>
      <x:c r="G33" t="n">
        <x:v>8212</x:v>
      </x:c>
      <x:c r="H33" t="n">
        <x:f>G33-F33</x:f>
        <x:v>-288</x:v>
      </x:c>
      <x:c r="I33" s="10" t="n">
        <x:f>G33/F33</x:f>
        <x:v>0.9661176470588235</x:v>
      </x:c>
      <x:c r="J33" t="n">
        <x:v>2.8</x:v>
      </x:c>
      <x:c r="K33" t="n">
        <x:v>164</x:v>
      </x:c>
      <x:c r="L33" t="str">
        <x:v>Watch</x:v>
      </x:c>
    </x:row>
    <x:row r="34">
      <x:c r="A34" t="str">
        <x:v>2026-W36</x:v>
      </x:c>
      <x:c r="B34" s="8" t="n">
        <x:v>46265</x:v>
      </x:c>
      <x:c r="C34" t="str">
        <x:v>L01</x:v>
      </x:c>
      <x:c r="D34" t="str">
        <x:v>Ahmed Khan</x:v>
      </x:c>
      <x:c r="E34" t="str">
        <x:v>Product Alpha</x:v>
      </x:c>
      <x:c r="F34" t="n">
        <x:v>14500</x:v>
      </x:c>
      <x:c r="G34" t="n">
        <x:v>14261</x:v>
      </x:c>
      <x:c r="H34" t="n">
        <x:f>G34-F34</x:f>
        <x:v>-239</x:v>
      </x:c>
      <x:c r="I34" s="10" t="n">
        <x:f>G34/F34</x:f>
        <x:v>0.9835172413793103</x:v>
      </x:c>
      <x:c r="J34" t="n">
        <x:v>3.9</x:v>
      </x:c>
      <x:c r="K34" t="n">
        <x:v>47</x:v>
      </x:c>
      <x:c r="L34" t="str">
        <x:v>On Track</x:v>
      </x:c>
    </x:row>
    <x:row r="35">
      <x:c r="A35" t="str">
        <x:v>2026-W36</x:v>
      </x:c>
      <x:c r="B35" s="8" t="n">
        <x:v>46265</x:v>
      </x:c>
      <x:c r="C35" t="str">
        <x:v>L02</x:v>
      </x:c>
      <x:c r="D35" t="str">
        <x:v>Sara Ali</x:v>
      </x:c>
      <x:c r="E35" t="str">
        <x:v>Product Alpha</x:v>
      </x:c>
      <x:c r="F35" t="n">
        <x:v>14000</x:v>
      </x:c>
      <x:c r="G35" t="n">
        <x:v>14023</x:v>
      </x:c>
      <x:c r="H35" t="n">
        <x:f>G35-F35</x:f>
        <x:v>23</x:v>
      </x:c>
      <x:c r="I35" s="10" t="n">
        <x:f>G35/F35</x:f>
        <x:v>1.001642857142857</x:v>
      </x:c>
      <x:c r="J35" t="n">
        <x:v>1.3</x:v>
      </x:c>
      <x:c r="K35" t="n">
        <x:v>113</x:v>
      </x:c>
      <x:c r="L35" t="str">
        <x:v>On Track</x:v>
      </x:c>
    </x:row>
    <x:row r="36">
      <x:c r="A36" t="str">
        <x:v>2026-W36</x:v>
      </x:c>
      <x:c r="B36" s="8" t="n">
        <x:v>46265</x:v>
      </x:c>
      <x:c r="C36" t="str">
        <x:v>L03</x:v>
      </x:c>
      <x:c r="D36" t="str">
        <x:v>Usman Raza</x:v>
      </x:c>
      <x:c r="E36" t="str">
        <x:v>Product Beta</x:v>
      </x:c>
      <x:c r="F36" t="n">
        <x:v>11500</x:v>
      </x:c>
      <x:c r="G36" t="n">
        <x:v>10561</x:v>
      </x:c>
      <x:c r="H36" t="n">
        <x:f>G36-F36</x:f>
        <x:v>-939</x:v>
      </x:c>
      <x:c r="I36" s="10" t="n">
        <x:f>G36/F36</x:f>
        <x:v>0.9183478260869565</x:v>
      </x:c>
      <x:c r="J36" t="n">
        <x:v>5.7</x:v>
      </x:c>
      <x:c r="K36" t="n">
        <x:v>120</x:v>
      </x:c>
      <x:c r="L36" t="str">
        <x:v>Watch</x:v>
      </x:c>
    </x:row>
    <x:row r="37">
      <x:c r="A37" t="str">
        <x:v>2026-W36</x:v>
      </x:c>
      <x:c r="B37" s="8" t="n">
        <x:v>46265</x:v>
      </x:c>
      <x:c r="C37" t="str">
        <x:v>L04</x:v>
      </x:c>
      <x:c r="D37" t="str">
        <x:v>Hina Malik</x:v>
      </x:c>
      <x:c r="E37" t="str">
        <x:v>Product Gamma</x:v>
      </x:c>
      <x:c r="F37" t="n">
        <x:v>8500</x:v>
      </x:c>
      <x:c r="G37" t="n">
        <x:v>8263</x:v>
      </x:c>
      <x:c r="H37" t="n">
        <x:f>G37-F37</x:f>
        <x:v>-237</x:v>
      </x:c>
      <x:c r="I37" s="10" t="n">
        <x:f>G37/F37</x:f>
        <x:v>0.9721176470588235</x:v>
      </x:c>
      <x:c r="J37" t="n">
        <x:v>2.4</x:v>
      </x:c>
      <x:c r="K37" t="n">
        <x:v>112</x:v>
      </x:c>
      <x:c r="L37" t="str">
        <x:v>Watch</x:v>
      </x:c>
    </x:row>
  </x:sheetData>
  <x:conditionalFormatting sqref="I2:I3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9c3053d3f164b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28" hidden="0" customWidth="1"/>
    <x:col min="6" max="6" width="12" hidden="0" customWidth="1"/>
    <x:col min="7" max="7" width="18" hidden="0" customWidth="1"/>
    <x:col min="8" max="8" width="28" hidden="0" customWidth="1"/>
    <x:col min="9" max="9" width="12" hidden="0" customWidth="1"/>
    <x:col min="10" max="10" width="24" hidden="0" customWidth="1"/>
  </x:cols>
  <x:sheetData>
    <x:row r="1">
      <x:c r="A1" s="6" t="str">
        <x:v>Date</x:v>
      </x:c>
      <x:c r="B1" s="6" t="str">
        <x:v>Line ID</x:v>
      </x:c>
      <x:c r="C1" s="6" t="str">
        <x:v>Machine ID</x:v>
      </x:c>
      <x:c r="D1" s="6" t="str">
        <x:v>Machine Type</x:v>
      </x:c>
      <x:c r="E1" s="6" t="str">
        <x:v>Issue</x:v>
      </x:c>
      <x:c r="F1" s="6" t="str">
        <x:v>Severity</x:v>
      </x:c>
      <x:c r="G1" s="6" t="str">
        <x:v>Downtime Minutes</x:v>
      </x:c>
      <x:c r="H1" s="6" t="str">
        <x:v>Action Taken</x:v>
      </x:c>
      <x:c r="I1" s="6" t="str">
        <x:v>Resolved</x:v>
      </x:c>
      <x:c r="J1" s="6" t="str">
        <x:v>Notes</x:v>
      </x:c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8" t="n">
        <x:v>46213</x:v>
      </x:c>
      <x:c r="B2" t="str">
        <x:v>L03</x:v>
      </x:c>
      <x:c r="C2" t="str">
        <x:v>M-C01</x:v>
      </x:c>
      <x:c r="D2" t="str">
        <x:v>Mixer</x:v>
      </x:c>
      <x:c r="E2" t="str">
        <x:v>Motor overheating</x:v>
      </x:c>
      <x:c r="F2" t="str">
        <x:v>High</x:v>
      </x:c>
      <x:c r="G2" t="n">
        <x:v>50</x:v>
      </x:c>
      <x:c r="H2" t="str">
        <x:v>Operator reset and inspection</x:v>
      </x:c>
      <x:c r="I2" t="str">
        <x:v>Yes</x:v>
      </x:c>
      <x:c r="J2" t="str"/>
    </x:row>
    <x:row r="3">
      <x:c r="A3" s="8" t="n">
        <x:v>46215</x:v>
      </x:c>
      <x:c r="B3" t="str">
        <x:v>L03</x:v>
      </x:c>
      <x:c r="C3" t="str">
        <x:v>M-C01</x:v>
      </x:c>
      <x:c r="D3" t="str">
        <x:v>Mixer</x:v>
      </x:c>
      <x:c r="E3" t="str">
        <x:v>Motor overheating</x:v>
      </x:c>
      <x:c r="F3" t="str">
        <x:v>Medium</x:v>
      </x:c>
      <x:c r="G3" t="n">
        <x:v>15</x:v>
      </x:c>
      <x:c r="H3" t="str">
        <x:v>Operator reset and inspection</x:v>
      </x:c>
      <x:c r="I3" t="str">
        <x:v>Yes</x:v>
      </x:c>
      <x:c r="J3" t="str"/>
    </x:row>
    <x:row r="4">
      <x:c r="A4" s="8" t="n">
        <x:v>46218</x:v>
      </x:c>
      <x:c r="B4" t="str">
        <x:v>L03</x:v>
      </x:c>
      <x:c r="C4" t="str">
        <x:v>M-C03</x:v>
      </x:c>
      <x:c r="D4" t="str">
        <x:v>Packing</x:v>
      </x:c>
      <x:c r="E4" t="str">
        <x:v>Jam in feeder</x:v>
      </x:c>
      <x:c r="F4" t="str">
        <x:v>Medium</x:v>
      </x:c>
      <x:c r="G4" t="n">
        <x:v>48</x:v>
      </x:c>
      <x:c r="H4" t="str">
        <x:v>Operator reset and inspection</x:v>
      </x:c>
      <x:c r="I4" t="str">
        <x:v>Yes</x:v>
      </x:c>
      <x:c r="J4" t="str"/>
    </x:row>
    <x:row r="5">
      <x:c r="A5" s="8" t="n">
        <x:v>46226</x:v>
      </x:c>
      <x:c r="B5" t="str">
        <x:v>L03</x:v>
      </x:c>
      <x:c r="C5" t="str">
        <x:v>M-C02</x:v>
      </x:c>
      <x:c r="D5" t="str">
        <x:v>Conveyor</x:v>
      </x:c>
      <x:c r="E5" t="str">
        <x:v>Belt misalignment</x:v>
      </x:c>
      <x:c r="F5" t="str">
        <x:v>Medium</x:v>
      </x:c>
      <x:c r="G5" t="n">
        <x:v>62</x:v>
      </x:c>
      <x:c r="H5" t="str">
        <x:v>Cleaning and recalibration</x:v>
      </x:c>
      <x:c r="I5" t="str">
        <x:v>Yes</x:v>
      </x:c>
      <x:c r="J5" t="str"/>
    </x:row>
    <x:row r="6">
      <x:c r="A6" s="8" t="n">
        <x:v>46226</x:v>
      </x:c>
      <x:c r="B6" t="str">
        <x:v>L04</x:v>
      </x:c>
      <x:c r="C6" t="str">
        <x:v>M-D02</x:v>
      </x:c>
      <x:c r="D6" t="str">
        <x:v>Packing</x:v>
      </x:c>
      <x:c r="E6" t="str">
        <x:v>Alignment error</x:v>
      </x:c>
      <x:c r="F6" t="str">
        <x:v>High</x:v>
      </x:c>
      <x:c r="G6" t="n">
        <x:v>30</x:v>
      </x:c>
      <x:c r="H6" t="str">
        <x:v>Maintenance inspection</x:v>
      </x:c>
      <x:c r="I6" t="str">
        <x:v>Yes</x:v>
      </x:c>
      <x:c r="J6" t="str"/>
    </x:row>
    <x:row r="7">
      <x:c r="A7" s="8" t="n">
        <x:v>46226</x:v>
      </x:c>
      <x:c r="B7" t="str">
        <x:v>L01</x:v>
      </x:c>
      <x:c r="C7" t="str">
        <x:v>M-A01</x:v>
      </x:c>
      <x:c r="D7" t="str">
        <x:v>Filling</x:v>
      </x:c>
      <x:c r="E7" t="str">
        <x:v>Pressure fluctuation</x:v>
      </x:c>
      <x:c r="F7" t="str">
        <x:v>Low</x:v>
      </x:c>
      <x:c r="G7" t="n">
        <x:v>80</x:v>
      </x:c>
      <x:c r="H7" t="str">
        <x:v>Component adjusted</x:v>
      </x:c>
      <x:c r="I7" t="str">
        <x:v>No</x:v>
      </x:c>
      <x:c r="J7" t="str">
        <x:v>Follow-up required</x:v>
      </x:c>
    </x:row>
    <x:row r="8">
      <x:c r="A8" s="8" t="n">
        <x:v>46226</x:v>
      </x:c>
      <x:c r="B8" t="str">
        <x:v>L01</x:v>
      </x:c>
      <x:c r="C8" t="str">
        <x:v>M-A01</x:v>
      </x:c>
      <x:c r="D8" t="str">
        <x:v>Filling</x:v>
      </x:c>
      <x:c r="E8" t="str">
        <x:v>Pressure fluctuation</x:v>
      </x:c>
      <x:c r="F8" t="str">
        <x:v>Medium</x:v>
      </x:c>
      <x:c r="G8" t="n">
        <x:v>28</x:v>
      </x:c>
      <x:c r="H8" t="str">
        <x:v>Maintenance inspection</x:v>
      </x:c>
      <x:c r="I8" t="str">
        <x:v>Yes</x:v>
      </x:c>
      <x:c r="J8" t="str"/>
    </x:row>
    <x:row r="9">
      <x:c r="A9" s="8" t="n">
        <x:v>46229</x:v>
      </x:c>
      <x:c r="B9" t="str">
        <x:v>L04</x:v>
      </x:c>
      <x:c r="C9" t="str">
        <x:v>M-D01</x:v>
      </x:c>
      <x:c r="D9" t="str">
        <x:v>Cutting</x:v>
      </x:c>
      <x:c r="E9" t="str">
        <x:v>Sensor fault</x:v>
      </x:c>
      <x:c r="F9" t="str">
        <x:v>Medium</x:v>
      </x:c>
      <x:c r="G9" t="n">
        <x:v>73</x:v>
      </x:c>
      <x:c r="H9" t="str">
        <x:v>Part replaced</x:v>
      </x:c>
      <x:c r="I9" t="str">
        <x:v>No</x:v>
      </x:c>
      <x:c r="J9" t="str">
        <x:v>Follow-up required</x:v>
      </x:c>
    </x:row>
    <x:row r="10">
      <x:c r="A10" s="8" t="n">
        <x:v>46234</x:v>
      </x:c>
      <x:c r="B10" t="str">
        <x:v>L03</x:v>
      </x:c>
      <x:c r="C10" t="str">
        <x:v>M-C02</x:v>
      </x:c>
      <x:c r="D10" t="str">
        <x:v>Conveyor</x:v>
      </x:c>
      <x:c r="E10" t="str">
        <x:v>Motor overheating</x:v>
      </x:c>
      <x:c r="F10" t="str">
        <x:v>Medium</x:v>
      </x:c>
      <x:c r="G10" t="n">
        <x:v>74</x:v>
      </x:c>
      <x:c r="H10" t="str">
        <x:v>Maintenance inspection</x:v>
      </x:c>
      <x:c r="I10" t="str">
        <x:v>Yes</x:v>
      </x:c>
      <x:c r="J10" t="str"/>
    </x:row>
    <x:row r="11">
      <x:c r="A11" s="8" t="n">
        <x:v>46236</x:v>
      </x:c>
      <x:c r="B11" t="str">
        <x:v>L03</x:v>
      </x:c>
      <x:c r="C11" t="str">
        <x:v>M-C01</x:v>
      </x:c>
      <x:c r="D11" t="str">
        <x:v>Mixer</x:v>
      </x:c>
      <x:c r="E11" t="str">
        <x:v>Abnormal vibration</x:v>
      </x:c>
      <x:c r="F11" t="str">
        <x:v>Medium</x:v>
      </x:c>
      <x:c r="G11" t="n">
        <x:v>48</x:v>
      </x:c>
      <x:c r="H11" t="str">
        <x:v>Maintenance inspection</x:v>
      </x:c>
      <x:c r="I11" t="str">
        <x:v>Yes</x:v>
      </x:c>
      <x:c r="J11" t="str"/>
    </x:row>
    <x:row r="12">
      <x:c r="A12" s="8" t="n">
        <x:v>46237</x:v>
      </x:c>
      <x:c r="B12" t="str">
        <x:v>L01</x:v>
      </x:c>
      <x:c r="C12" t="str">
        <x:v>M-A01</x:v>
      </x:c>
      <x:c r="D12" t="str">
        <x:v>Filling</x:v>
      </x:c>
      <x:c r="E12" t="str">
        <x:v>Pressure fluctuation</x:v>
      </x:c>
      <x:c r="F12" t="str">
        <x:v>Medium</x:v>
      </x:c>
      <x:c r="G12" t="n">
        <x:v>69</x:v>
      </x:c>
      <x:c r="H12" t="str">
        <x:v>Part replaced</x:v>
      </x:c>
      <x:c r="I12" t="str">
        <x:v>Yes</x:v>
      </x:c>
      <x:c r="J12" t="str"/>
    </x:row>
    <x:row r="13">
      <x:c r="A13" s="8" t="n">
        <x:v>46240</x:v>
      </x:c>
      <x:c r="B13" t="str">
        <x:v>L04</x:v>
      </x:c>
      <x:c r="C13" t="str">
        <x:v>M-D01</x:v>
      </x:c>
      <x:c r="D13" t="str">
        <x:v>Cutting</x:v>
      </x:c>
      <x:c r="E13" t="str">
        <x:v>Sensor fault</x:v>
      </x:c>
      <x:c r="F13" t="str">
        <x:v>Medium</x:v>
      </x:c>
      <x:c r="G13" t="n">
        <x:v>50</x:v>
      </x:c>
      <x:c r="H13" t="str">
        <x:v>Maintenance inspection</x:v>
      </x:c>
      <x:c r="I13" t="str">
        <x:v>Yes</x:v>
      </x:c>
      <x:c r="J13" t="str"/>
    </x:row>
    <x:row r="14">
      <x:c r="A14" s="8" t="n">
        <x:v>46242</x:v>
      </x:c>
      <x:c r="B14" t="str">
        <x:v>L03</x:v>
      </x:c>
      <x:c r="C14" t="str">
        <x:v>M-C02</x:v>
      </x:c>
      <x:c r="D14" t="str">
        <x:v>Conveyor</x:v>
      </x:c>
      <x:c r="E14" t="str">
        <x:v>Belt misalignment</x:v>
      </x:c>
      <x:c r="F14" t="str">
        <x:v>High</x:v>
      </x:c>
      <x:c r="G14" t="n">
        <x:v>96</x:v>
      </x:c>
      <x:c r="H14" t="str">
        <x:v>Operator reset and inspection</x:v>
      </x:c>
      <x:c r="I14" t="str">
        <x:v>Yes</x:v>
      </x:c>
      <x:c r="J14" t="str"/>
    </x:row>
    <x:row r="15">
      <x:c r="A15" s="8" t="n">
        <x:v>46245</x:v>
      </x:c>
      <x:c r="B15" t="str">
        <x:v>L03</x:v>
      </x:c>
      <x:c r="C15" t="str">
        <x:v>M-C02</x:v>
      </x:c>
      <x:c r="D15" t="str">
        <x:v>Conveyor</x:v>
      </x:c>
      <x:c r="E15" t="str">
        <x:v>Motor overheating</x:v>
      </x:c>
      <x:c r="F15" t="str">
        <x:v>Medium</x:v>
      </x:c>
      <x:c r="G15" t="n">
        <x:v>82</x:v>
      </x:c>
      <x:c r="H15" t="str">
        <x:v>Maintenance inspection</x:v>
      </x:c>
      <x:c r="I15" t="str">
        <x:v>Yes</x:v>
      </x:c>
      <x:c r="J15" t="str"/>
    </x:row>
    <x:row r="16">
      <x:c r="A16" s="8" t="n">
        <x:v>46246</x:v>
      </x:c>
      <x:c r="B16" t="str">
        <x:v>L03</x:v>
      </x:c>
      <x:c r="C16" t="str">
        <x:v>M-C02</x:v>
      </x:c>
      <x:c r="D16" t="str">
        <x:v>Conveyor</x:v>
      </x:c>
      <x:c r="E16" t="str">
        <x:v>Motor overheating</x:v>
      </x:c>
      <x:c r="F16" t="str">
        <x:v>Medium</x:v>
      </x:c>
      <x:c r="G16" t="n">
        <x:v>115</x:v>
      </x:c>
      <x:c r="H16" t="str">
        <x:v>Maintenance inspection</x:v>
      </x:c>
      <x:c r="I16" t="str">
        <x:v>Yes</x:v>
      </x:c>
      <x:c r="J16" t="str"/>
    </x:row>
    <x:row r="17">
      <x:c r="A17" s="8" t="n">
        <x:v>46248</x:v>
      </x:c>
      <x:c r="B17" t="str">
        <x:v>L02</x:v>
      </x:c>
      <x:c r="C17" t="str">
        <x:v>M-B01</x:v>
      </x:c>
      <x:c r="D17" t="str">
        <x:v>Filling</x:v>
      </x:c>
      <x:c r="E17" t="str">
        <x:v>Pressure fluctuation</x:v>
      </x:c>
      <x:c r="F17" t="str">
        <x:v>Medium</x:v>
      </x:c>
      <x:c r="G17" t="n">
        <x:v>22</x:v>
      </x:c>
      <x:c r="H17" t="str">
        <x:v>Cleaning and recalibration</x:v>
      </x:c>
      <x:c r="I17" t="str">
        <x:v>Yes</x:v>
      </x:c>
      <x:c r="J17" t="str"/>
    </x:row>
    <x:row r="18">
      <x:c r="A18" s="8" t="n">
        <x:v>46248</x:v>
      </x:c>
      <x:c r="B18" t="str">
        <x:v>L01</x:v>
      </x:c>
      <x:c r="C18" t="str">
        <x:v>M-A01</x:v>
      </x:c>
      <x:c r="D18" t="str">
        <x:v>Filling</x:v>
      </x:c>
      <x:c r="E18" t="str">
        <x:v>Nozzle blockage</x:v>
      </x:c>
      <x:c r="F18" t="str">
        <x:v>Low</x:v>
      </x:c>
      <x:c r="G18" t="n">
        <x:v>62</x:v>
      </x:c>
      <x:c r="H18" t="str">
        <x:v>Cleaning and recalibration</x:v>
      </x:c>
      <x:c r="I18" t="str">
        <x:v>Yes</x:v>
      </x:c>
      <x:c r="J18" t="str"/>
    </x:row>
    <x:row r="19">
      <x:c r="A19" s="8" t="n">
        <x:v>46250</x:v>
      </x:c>
      <x:c r="B19" t="str">
        <x:v>L04</x:v>
      </x:c>
      <x:c r="C19" t="str">
        <x:v>M-D02</x:v>
      </x:c>
      <x:c r="D19" t="str">
        <x:v>Packing</x:v>
      </x:c>
      <x:c r="E19" t="str">
        <x:v>Jam in feeder</x:v>
      </x:c>
      <x:c r="F19" t="str">
        <x:v>Low</x:v>
      </x:c>
      <x:c r="G19" t="n">
        <x:v>73</x:v>
      </x:c>
      <x:c r="H19" t="str">
        <x:v>Cleaning and recalibration</x:v>
      </x:c>
      <x:c r="I19" t="str">
        <x:v>Yes</x:v>
      </x:c>
      <x:c r="J19" t="str"/>
    </x:row>
    <x:row r="20">
      <x:c r="A20" s="8" t="n">
        <x:v>46253</x:v>
      </x:c>
      <x:c r="B20" t="str">
        <x:v>L01</x:v>
      </x:c>
      <x:c r="C20" t="str">
        <x:v>M-A01</x:v>
      </x:c>
      <x:c r="D20" t="str">
        <x:v>Filling</x:v>
      </x:c>
      <x:c r="E20" t="str">
        <x:v>Nozzle blockage</x:v>
      </x:c>
      <x:c r="F20" t="str">
        <x:v>Low</x:v>
      </x:c>
      <x:c r="G20" t="n">
        <x:v>68</x:v>
      </x:c>
      <x:c r="H20" t="str">
        <x:v>Cleaning and recalibration</x:v>
      </x:c>
      <x:c r="I20" t="str">
        <x:v>Yes</x:v>
      </x:c>
      <x:c r="J20" t="str"/>
    </x:row>
    <x:row r="21">
      <x:c r="A21" s="8" t="n">
        <x:v>46254</x:v>
      </x:c>
      <x:c r="B21" t="str">
        <x:v>L01</x:v>
      </x:c>
      <x:c r="C21" t="str">
        <x:v>M-A01</x:v>
      </x:c>
      <x:c r="D21" t="str">
        <x:v>Filling</x:v>
      </x:c>
      <x:c r="E21" t="str">
        <x:v>Nozzle blockage</x:v>
      </x:c>
      <x:c r="F21" t="str">
        <x:v>Low</x:v>
      </x:c>
      <x:c r="G21" t="n">
        <x:v>23</x:v>
      </x:c>
      <x:c r="H21" t="str">
        <x:v>Maintenance inspection</x:v>
      </x:c>
      <x:c r="I21" t="str">
        <x:v>No</x:v>
      </x:c>
      <x:c r="J21" t="str">
        <x:v>Follow-up required</x:v>
      </x:c>
    </x:row>
    <x:row r="22">
      <x:c r="A22" s="8" t="n">
        <x:v>46254</x:v>
      </x:c>
      <x:c r="B22" t="str">
        <x:v>L03</x:v>
      </x:c>
      <x:c r="C22" t="str">
        <x:v>M-C02</x:v>
      </x:c>
      <x:c r="D22" t="str">
        <x:v>Conveyor</x:v>
      </x:c>
      <x:c r="E22" t="str">
        <x:v>Belt misalignment</x:v>
      </x:c>
      <x:c r="F22" t="str">
        <x:v>Medium</x:v>
      </x:c>
      <x:c r="G22" t="n">
        <x:v>41</x:v>
      </x:c>
      <x:c r="H22" t="str">
        <x:v>Component adjusted</x:v>
      </x:c>
      <x:c r="I22" t="str">
        <x:v>No</x:v>
      </x:c>
      <x:c r="J22" t="str">
        <x:v>Follow-up required</x:v>
      </x:c>
    </x:row>
    <x:row r="23">
      <x:c r="A23" s="8" t="n">
        <x:v>46256</x:v>
      </x:c>
      <x:c r="B23" t="str">
        <x:v>L03</x:v>
      </x:c>
      <x:c r="C23" t="str">
        <x:v>M-C02</x:v>
      </x:c>
      <x:c r="D23" t="str">
        <x:v>Conveyor</x:v>
      </x:c>
      <x:c r="E23" t="str">
        <x:v>Belt misalignment</x:v>
      </x:c>
      <x:c r="F23" t="str">
        <x:v>High</x:v>
      </x:c>
      <x:c r="G23" t="n">
        <x:v>84</x:v>
      </x:c>
      <x:c r="H23" t="str">
        <x:v>Component adjusted</x:v>
      </x:c>
      <x:c r="I23" t="str">
        <x:v>Yes</x:v>
      </x:c>
      <x:c r="J23" t="str"/>
    </x:row>
    <x:row r="24">
      <x:c r="A24" s="8" t="n">
        <x:v>46256</x:v>
      </x:c>
      <x:c r="B24" t="str">
        <x:v>L02</x:v>
      </x:c>
      <x:c r="C24" t="str">
        <x:v>M-B02</x:v>
      </x:c>
      <x:c r="D24" t="str">
        <x:v>Packing</x:v>
      </x:c>
      <x:c r="E24" t="str">
        <x:v>Jam in feeder</x:v>
      </x:c>
      <x:c r="F24" t="str">
        <x:v>High</x:v>
      </x:c>
      <x:c r="G24" t="n">
        <x:v>85</x:v>
      </x:c>
      <x:c r="H24" t="str">
        <x:v>Part replaced</x:v>
      </x:c>
      <x:c r="I24" t="str">
        <x:v>Yes</x:v>
      </x:c>
      <x:c r="J24" t="str"/>
    </x:row>
    <x:row r="25">
      <x:c r="A25" s="8" t="n">
        <x:v>46257</x:v>
      </x:c>
      <x:c r="B25" t="str">
        <x:v>L03</x:v>
      </x:c>
      <x:c r="C25" t="str">
        <x:v>M-C02</x:v>
      </x:c>
      <x:c r="D25" t="str">
        <x:v>Conveyor</x:v>
      </x:c>
      <x:c r="E25" t="str">
        <x:v>Motor overheating</x:v>
      </x:c>
      <x:c r="F25" t="str">
        <x:v>High</x:v>
      </x:c>
      <x:c r="G25" t="n">
        <x:v>65</x:v>
      </x:c>
      <x:c r="H25" t="str">
        <x:v>Part replaced</x:v>
      </x:c>
      <x:c r="I25" t="str">
        <x:v>Yes</x:v>
      </x:c>
      <x:c r="J25" t="str"/>
    </x:row>
    <x:row r="26">
      <x:c r="A26" s="8" t="n">
        <x:v>46259</x:v>
      </x:c>
      <x:c r="B26" t="str">
        <x:v>L03</x:v>
      </x:c>
      <x:c r="C26" t="str">
        <x:v>M-C02</x:v>
      </x:c>
      <x:c r="D26" t="str">
        <x:v>Conveyor</x:v>
      </x:c>
      <x:c r="E26" t="str">
        <x:v>Motor overheating</x:v>
      </x:c>
      <x:c r="F26" t="str">
        <x:v>High</x:v>
      </x:c>
      <x:c r="G26" t="n">
        <x:v>119</x:v>
      </x:c>
      <x:c r="H26" t="str">
        <x:v>Maintenance inspection</x:v>
      </x:c>
      <x:c r="I26" t="str">
        <x:v>Yes</x:v>
      </x:c>
      <x:c r="J26" t="str"/>
    </x:row>
    <x:row r="27">
      <x:c r="A27" s="8" t="n">
        <x:v>46259</x:v>
      </x:c>
      <x:c r="B27" t="str">
        <x:v>L04</x:v>
      </x:c>
      <x:c r="C27" t="str">
        <x:v>M-D01</x:v>
      </x:c>
      <x:c r="D27" t="str">
        <x:v>Cutting</x:v>
      </x:c>
      <x:c r="E27" t="str">
        <x:v>Blade wear</x:v>
      </x:c>
      <x:c r="F27" t="str">
        <x:v>Low</x:v>
      </x:c>
      <x:c r="G27" t="n">
        <x:v>26</x:v>
      </x:c>
      <x:c r="H27" t="str">
        <x:v>Maintenance inspection</x:v>
      </x:c>
      <x:c r="I27" t="str">
        <x:v>Yes</x:v>
      </x:c>
      <x:c r="J27" t="str"/>
    </x:row>
    <x:row r="28">
      <x:c r="A28" s="8" t="n">
        <x:v>46260</x:v>
      </x:c>
      <x:c r="B28" t="str">
        <x:v>L03</x:v>
      </x:c>
      <x:c r="C28" t="str">
        <x:v>M-C02</x:v>
      </x:c>
      <x:c r="D28" t="str">
        <x:v>Conveyor</x:v>
      </x:c>
      <x:c r="E28" t="str">
        <x:v>Belt misalignment</x:v>
      </x:c>
      <x:c r="F28" t="str">
        <x:v>Medium</x:v>
      </x:c>
      <x:c r="G28" t="n">
        <x:v>123</x:v>
      </x:c>
      <x:c r="H28" t="str">
        <x:v>Maintenance inspection</x:v>
      </x:c>
      <x:c r="I28" t="str">
        <x:v>Yes</x:v>
      </x:c>
      <x:c r="J28" t="str"/>
    </x:row>
    <x:row r="29">
      <x:c r="A29" s="8" t="n">
        <x:v>46262</x:v>
      </x:c>
      <x:c r="B29" t="str">
        <x:v>L02</x:v>
      </x:c>
      <x:c r="C29" t="str">
        <x:v>M-B01</x:v>
      </x:c>
      <x:c r="D29" t="str">
        <x:v>Filling</x:v>
      </x:c>
      <x:c r="E29" t="str">
        <x:v>Pressure fluctuation</x:v>
      </x:c>
      <x:c r="F29" t="str">
        <x:v>Medium</x:v>
      </x:c>
      <x:c r="G29" t="n">
        <x:v>75</x:v>
      </x:c>
      <x:c r="H29" t="str">
        <x:v>Part replaced</x:v>
      </x:c>
      <x:c r="I29" t="str">
        <x:v>Yes</x:v>
      </x:c>
      <x:c r="J29" t="str"/>
    </x:row>
    <x:row r="30">
      <x:c r="A30" s="8" t="n">
        <x:v>46264</x:v>
      </x:c>
      <x:c r="B30" t="str">
        <x:v>L03</x:v>
      </x:c>
      <x:c r="C30" t="str">
        <x:v>M-C02</x:v>
      </x:c>
      <x:c r="D30" t="str">
        <x:v>Conveyor</x:v>
      </x:c>
      <x:c r="E30" t="str">
        <x:v>Belt misalignment</x:v>
      </x:c>
      <x:c r="F30" t="str">
        <x:v>Medium</x:v>
      </x:c>
      <x:c r="G30" t="n">
        <x:v>93</x:v>
      </x:c>
      <x:c r="H30" t="str">
        <x:v>Cleaning and recalibration</x:v>
      </x:c>
      <x:c r="I30" t="str">
        <x:v>Yes</x:v>
      </x:c>
      <x:c r="J30" t="str"/>
    </x:row>
    <x:row r="31">
      <x:c r="A31" s="8" t="n">
        <x:v>46266</x:v>
      </x:c>
      <x:c r="B31" t="str">
        <x:v>L03</x:v>
      </x:c>
      <x:c r="C31" t="str">
        <x:v>M-C02</x:v>
      </x:c>
      <x:c r="D31" t="str">
        <x:v>Conveyor</x:v>
      </x:c>
      <x:c r="E31" t="str">
        <x:v>Belt misalignment</x:v>
      </x:c>
      <x:c r="F31" t="str">
        <x:v>High</x:v>
      </x:c>
      <x:c r="G31" t="n">
        <x:v>122</x:v>
      </x:c>
      <x:c r="H31" t="str">
        <x:v>Cleaning and recalibration</x:v>
      </x:c>
      <x:c r="I31" t="str">
        <x:v>No</x:v>
      </x:c>
      <x:c r="J31" t="str">
        <x:v>Follow-up required</x:v>
      </x:c>
    </x:row>
    <x:row r="32">
      <x:c r="A32" s="8" t="n">
        <x:v>46267</x:v>
      </x:c>
      <x:c r="B32" t="str">
        <x:v>L03</x:v>
      </x:c>
      <x:c r="C32" t="str">
        <x:v>M-C02</x:v>
      </x:c>
      <x:c r="D32" t="str">
        <x:v>Conveyor</x:v>
      </x:c>
      <x:c r="E32" t="str">
        <x:v>Motor overheating</x:v>
      </x:c>
      <x:c r="F32" t="str">
        <x:v>Medium</x:v>
      </x:c>
      <x:c r="G32" t="n">
        <x:v>101</x:v>
      </x:c>
      <x:c r="H32" t="str">
        <x:v>Component adjusted</x:v>
      </x:c>
      <x:c r="I32" t="str">
        <x:v>Yes</x:v>
      </x:c>
      <x:c r="J32" t="str"/>
    </x:row>
    <x:row r="33">
      <x:c r="A33" s="8" t="n">
        <x:v>46267</x:v>
      </x:c>
      <x:c r="B33" t="str">
        <x:v>L01</x:v>
      </x:c>
      <x:c r="C33" t="str">
        <x:v>M-A01</x:v>
      </x:c>
      <x:c r="D33" t="str">
        <x:v>Filling</x:v>
      </x:c>
      <x:c r="E33" t="str">
        <x:v>Pressure fluctuation</x:v>
      </x:c>
      <x:c r="F33" t="str">
        <x:v>Medium</x:v>
      </x:c>
      <x:c r="G33" t="n">
        <x:v>59</x:v>
      </x:c>
      <x:c r="H33" t="str">
        <x:v>Operator reset and inspection</x:v>
      </x:c>
      <x:c r="I33" t="str">
        <x:v>Yes</x:v>
      </x:c>
      <x:c r="J33" t="str"/>
    </x:row>
    <x:row r="34">
      <x:c r="A34" s="8" t="n">
        <x:v>46268</x:v>
      </x:c>
      <x:c r="B34" t="str">
        <x:v>L04</x:v>
      </x:c>
      <x:c r="C34" t="str">
        <x:v>M-D02</x:v>
      </x:c>
      <x:c r="D34" t="str">
        <x:v>Packing</x:v>
      </x:c>
      <x:c r="E34" t="str">
        <x:v>Alignment error</x:v>
      </x:c>
      <x:c r="F34" t="str">
        <x:v>Medium</x:v>
      </x:c>
      <x:c r="G34" t="n">
        <x:v>66</x:v>
      </x:c>
      <x:c r="H34" t="str">
        <x:v>Operator reset and inspection</x:v>
      </x:c>
      <x:c r="I34" t="str">
        <x:v>Yes</x:v>
      </x:c>
      <x:c r="J34" t="str"/>
    </x:row>
    <x:row r="35">
      <x:c r="A35" s="8" t="n">
        <x:v>46269</x:v>
      </x:c>
      <x:c r="B35" t="str">
        <x:v>L03</x:v>
      </x:c>
      <x:c r="C35" t="str">
        <x:v>M-C01</x:v>
      </x:c>
      <x:c r="D35" t="str">
        <x:v>Mixer</x:v>
      </x:c>
      <x:c r="E35" t="str">
        <x:v>Motor overheating</x:v>
      </x:c>
      <x:c r="F35" t="str">
        <x:v>High</x:v>
      </x:c>
      <x:c r="G35" t="n">
        <x:v>79</x:v>
      </x:c>
      <x:c r="H35" t="str">
        <x:v>Cleaning and recalibration</x:v>
      </x:c>
      <x:c r="I35" t="str">
        <x:v>Yes</x:v>
      </x:c>
      <x:c r="J35" t="str"/>
    </x:row>
  </x:sheetData>
  <x:conditionalFormatting sqref="G2:G3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{F7866114-D2FC-D19E-7038-4949CCA330E8}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96d73e0bad6446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866114-D2FC-D19E-7038-4949CCA330E8}">
            <x14:dataBar gradient="1">
              <x14:cfvo type="min"/>
              <x14:cfvo type="max"/>
              <x14:fillColor rgb="FF5B9BD5"/>
            </x14:dataBar>
          </x14:cfRule>
          <xm:sqref>G2:G35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48" hidden="0" customWidth="1"/>
  </x:cols>
  <x:sheetData>
    <x:row r="1">
      <x:c r="A1" s="6" t="str">
        <x:v>Field / Area</x:v>
      </x:c>
      <x:c r="B1" s="6" t="str">
        <x:v>Availability</x:v>
      </x:c>
      <x:c r="C1" s="6" t="str">
        <x:v>Comment</x:v>
      </x:c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Quarter targets</x:v>
      </x:c>
      <x:c r="B2" t="str">
        <x:v>Available</x:v>
      </x:c>
      <x:c r="C2" t="str">
        <x:v>Targets supplied for three products</x:v>
      </x:c>
    </x:row>
    <x:row r="3">
      <x:c r="A3" t="str">
        <x:v>Weekly line production</x:v>
      </x:c>
      <x:c r="B3" t="str">
        <x:v>Available</x:v>
      </x:c>
      <x:c r="C3" t="str">
        <x:v>Nine weeks of target vs actual data</x:v>
      </x:c>
    </x:row>
    <x:row r="4">
      <x:c r="A4" t="str">
        <x:v>Line supervisors</x:v>
      </x:c>
      <x:c r="B4" t="str">
        <x:v>Available</x:v>
      </x:c>
      <x:c r="C4" t="str">
        <x:v>One supervisor assigned per line</x:v>
      </x:c>
    </x:row>
    <x:row r="5">
      <x:c r="A5" t="str">
        <x:v>Machine issue logs</x:v>
      </x:c>
      <x:c r="B5" t="str">
        <x:v>Available</x:v>
      </x:c>
      <x:c r="C5" t="str">
        <x:v>Includes machine, issue, severity and downtime</x:v>
      </x:c>
    </x:row>
    <x:row r="6">
      <x:c r="A6" t="str">
        <x:v>Maintenance cost</x:v>
      </x:c>
      <x:c r="B6" t="str">
        <x:v>Missing</x:v>
      </x:c>
      <x:c r="C6" t="str">
        <x:v>Not provided in this sample</x:v>
      </x:c>
    </x:row>
    <x:row r="7">
      <x:c r="A7" t="str">
        <x:v>Exact lost production per machine incident</x:v>
      </x:c>
      <x:c r="B7" t="str">
        <x:v>Missing</x:v>
      </x:c>
      <x:c r="C7" t="str">
        <x:v>Would improve impact estimates</x:v>
      </x:c>
    </x:row>
    <x:row r="8">
      <x:c r="A8" t="str">
        <x:v>Downtime duration</x:v>
      </x:c>
      <x:c r="B8" t="str">
        <x:v>Partially complete</x:v>
      </x:c>
      <x:c r="C8" t="str">
        <x:v>Some real-world uploads may omit this field</x:v>
      </x:c>
    </x:row>
  </x:sheetData>
  <x:pageMargins left="0.7" right="0.7" top="0.75" bottom="0.75" header="0.3" footer="0.3"/>
  <x:tableParts count="1">
    <x:tablePart xmlns:r="http://schemas.openxmlformats.org/officeDocument/2006/relationships" r:id="R00e717b8ce8d480b"/>
  </x:tableParts>
</x:worksheet>
</file>